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ệnh Sản Xuất" sheetId="1" r:id="rId3"/>
    <sheet name="Quản lý Spec" sheetId="2" r:id="rId4"/>
    <sheet name="Đặt Hàng Phụ Kiện" sheetId="3" r:id="rId5"/>
  </sheets>
</workbook>
</file>

<file path=xl/sharedStrings.xml><?xml version="1.0" encoding="utf-8"?>
<sst xmlns="http://schemas.openxmlformats.org/spreadsheetml/2006/main" count="174" uniqueCount="83">
  <si>
    <t xml:space="preserve">LỆNH SẢN XUẤT</t>
  </si>
  <si>
    <t xml:space="preserve">Dự án: LIQUID EGG</t>
  </si>
  <si>
    <t xml:space="preserve">Địa chỉ: ĐỒNG NAI</t>
  </si>
  <si>
    <t xml:space="preserve">Ngày xuất: 28/04/2026 15:00</t>
  </si>
  <si>
    <t xml:space="preserve">STT</t>
  </si>
  <si>
    <t xml:space="preserve">ƯU TIÊN</t>
  </si>
  <si>
    <t xml:space="preserve">TẦNG</t>
  </si>
  <si>
    <t xml:space="preserve">CẤU TẠO</t>
  </si>
  <si>
    <t xml:space="preserve">KÝ HIỆU</t>
  </si>
  <si>
    <t xml:space="preserve">RỘNG (mm)</t>
  </si>
  <si>
    <t xml:space="preserve">DÀI (mm)</t>
  </si>
  <si>
    <t xml:space="preserve">SỐ LƯỢNG</t>
  </si>
  <si>
    <t xml:space="preserve">DIỆN TÍCH (m²)</t>
  </si>
  <si>
    <t xml:space="preserve">GHI CHÚ</t>
  </si>
  <si>
    <t xml:space="preserve"/>
  </si>
  <si>
    <t xml:space="preserve">Tầng 1</t>
  </si>
  <si>
    <t xml:space="preserve">SPEC1</t>
  </si>
  <si>
    <t xml:space="preserve">W1-01</t>
  </si>
  <si>
    <t xml:space="preserve">Cắt tại công trường | W1</t>
  </si>
  <si>
    <t xml:space="preserve">W1-02</t>
  </si>
  <si>
    <t xml:space="preserve">W1-03</t>
  </si>
  <si>
    <t xml:space="preserve">W1-04</t>
  </si>
  <si>
    <t xml:space="preserve">W1-05</t>
  </si>
  <si>
    <t xml:space="preserve">W1</t>
  </si>
  <si>
    <t xml:space="preserve">W1-06</t>
  </si>
  <si>
    <t xml:space="preserve">W1-07</t>
  </si>
  <si>
    <t xml:space="preserve">W1-08</t>
  </si>
  <si>
    <t xml:space="preserve">W1-09</t>
  </si>
  <si>
    <t xml:space="preserve">TỔNG ĐẶT HÀNG</t>
  </si>
  <si>
    <t xml:space="preserve">BẢNG QUẢN LÝ SPEC</t>
  </si>
  <si>
    <t xml:space="preserve">DANH SÁCH SPEC DỰ ÁN</t>
  </si>
  <si>
    <t xml:space="preserve">Mã spec</t>
  </si>
  <si>
    <t xml:space="preserve">Khổ tấm (mm)</t>
  </si>
  <si>
    <t xml:space="preserve">Loại panel</t>
  </si>
  <si>
    <t xml:space="preserve">Tỷ trọng</t>
  </si>
  <si>
    <t xml:space="preserve">Chiều dày (mm)</t>
  </si>
  <si>
    <t xml:space="preserve">Chống cháy</t>
  </si>
  <si>
    <t xml:space="preserve">FM</t>
  </si>
  <si>
    <t xml:space="preserve">MẶT TRÊN</t>
  </si>
  <si>
    <t xml:space="preserve">MẶT DƯỚI</t>
  </si>
  <si>
    <t xml:space="preserve">Màu sắc</t>
  </si>
  <si>
    <t xml:space="preserve">Vật liệu</t>
  </si>
  <si>
    <t xml:space="preserve">Độ mạ</t>
  </si>
  <si>
    <t xml:space="preserve">Dày tôn</t>
  </si>
  <si>
    <t xml:space="preserve">Profile</t>
  </si>
  <si>
    <t xml:space="preserve">1100</t>
  </si>
  <si>
    <t xml:space="preserve">ISOFRIGO</t>
  </si>
  <si>
    <t xml:space="preserve">44+-2</t>
  </si>
  <si>
    <t xml:space="preserve">50</t>
  </si>
  <si>
    <t xml:space="preserve">-</t>
  </si>
  <si>
    <t xml:space="preserve">Có</t>
  </si>
  <si>
    <t xml:space="preserve">Trắng</t>
  </si>
  <si>
    <t xml:space="preserve">Tole</t>
  </si>
  <si>
    <t xml:space="preserve">AZ150</t>
  </si>
  <si>
    <t xml:space="preserve">0.6</t>
  </si>
  <si>
    <t xml:space="preserve">Vuông</t>
  </si>
  <si>
    <t xml:space="preserve">ĐẶT HÀNG PHỤ KIỆN</t>
  </si>
  <si>
    <t xml:space="preserve">HẠNG MỤC</t>
  </si>
  <si>
    <t xml:space="preserve">VỊ TRÍ / ỨNG DỤNG</t>
  </si>
  <si>
    <t xml:space="preserve">TÊN PHỤ KIỆN</t>
  </si>
  <si>
    <t xml:space="preserve">QUY CÁCH</t>
  </si>
  <si>
    <t xml:space="preserve">ĐVT</t>
  </si>
  <si>
    <t xml:space="preserve">Vách</t>
  </si>
  <si>
    <t xml:space="preserve">Phòng sạch</t>
  </si>
  <si>
    <t xml:space="preserve">Bộ cửa đi phòng sạch</t>
  </si>
  <si>
    <t xml:space="preserve">Cửa đi</t>
  </si>
  <si>
    <t xml:space="preserve">bộ</t>
  </si>
  <si>
    <t xml:space="preserve">W1: Sơ bộ theo số lượng cửa đi phòng sạch</t>
  </si>
  <si>
    <t xml:space="preserve">Rive Ø4.2×12</t>
  </si>
  <si>
    <t xml:space="preserve">Nhôm - Lỗ mở</t>
  </si>
  <si>
    <t xml:space="preserve">cái</t>
  </si>
  <si>
    <t xml:space="preserve">W1: Lỗ mở phòng sạch: bắn theo U nhôm 4 cạnh @500</t>
  </si>
  <si>
    <t xml:space="preserve">Silicone SN-505</t>
  </si>
  <si>
    <t xml:space="preserve">Lỗ mở</t>
  </si>
  <si>
    <t xml:space="preserve">chai</t>
  </si>
  <si>
    <t xml:space="preserve">W1: Lỗ mở phòng sạch: 2 tuyến silicone hoàn thiện theo 4 cạnh U nhôm, quy đổi 15 md/chai</t>
  </si>
  <si>
    <t xml:space="preserve">U 40x50x40</t>
  </si>
  <si>
    <t xml:space="preserve">Nhôm / Thép mạ kẽm - Lỗ mở</t>
  </si>
  <si>
    <t xml:space="preserve">md</t>
  </si>
  <si>
    <t xml:space="preserve">W1: Lỗ mở phòng sạch: U 4 cạnh cùng loại chân vách; panel 50/75 dùng nhôm, còn lại dùng thép mạ kẽm</t>
  </si>
  <si>
    <t xml:space="preserve">Mối nối</t>
  </si>
  <si>
    <t xml:space="preserve">W1: Bơm kín mối nối phòng sạch, quy đổi 15 md/chai</t>
  </si>
  <si>
    <t xml:space="preserve"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</si>
</sst>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indexed="8"/>
      <name val="Calibri"/>
      <family val="2"/>
      <scheme val="minor"/>
    </font>
    <font>
      <b/>
      <sz val="14"/>
      <name val="Times New Roman"/>
    </font>
    <font>
      <i/>
      <sz val="13"/>
      <name val="Times New Roman"/>
    </font>
    <font>
      <b/>
      <sz val="13"/>
      <color indexed="9"/>
      <name val="Times New Roman"/>
    </font>
    <font>
      <sz val="13"/>
      <name val="Times New Roman"/>
    </font>
    <font>
      <sz val="13"/>
      <name val="Times New Roman"/>
    </font>
    <font>
      <b/>
      <sz val="13"/>
      <name val="Times New Roman"/>
    </font>
    <font>
      <sz val="13"/>
      <name val="Times New Roman"/>
    </font>
    <font>
      <b/>
      <sz val="13"/>
      <name val="Times New Roman"/>
    </font>
    <font>
      <sz val="13"/>
      <name val="Times New Roman"/>
    </font>
    <font>
      <sz val="13"/>
      <name val="Times New Roman"/>
    </font>
  </fonts>
  <fills count="8">
    <fill>
      <patternFill patternType="none"/>
    </fill>
    <fill>
      <patternFill patternType="darkGray"/>
    </fill>
    <fill>
      <patternFill patternType="none">
        <fgColor rgb="4F81BD"/>
      </patternFill>
    </fill>
    <fill>
      <patternFill patternType="solid">
        <fgColor rgb="4F81BD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left" vertical="center"/>
    </xf>
    <xf numFmtId="0" fontId="3" fillId="3" borderId="4" xfId="0" applyFont="1" applyFill="1" applyBorder="1">
      <alignment horizontal="center" vertical="center"/>
    </xf>
    <xf numFmtId="0" fontId="4" fillId="0" borderId="4" xfId="0" applyFont="1" applyBorder="1">
      <alignment vertical="center"/>
    </xf>
    <xf numFmtId="4" fontId="6" fillId="5" borderId="4" xfId="0" applyNumberFormat="1" applyFont="1" applyFill="1" applyBorder="1">
      <alignment horizontal="center" vertical="center"/>
    </xf>
    <xf numFmtId="3" fontId="8" fillId="5" borderId="4" xfId="0" applyNumberFormat="1" applyFont="1" applyFill="1" applyBorder="1">
      <alignment horizontal="center" vertical="center"/>
    </xf>
    <xf numFmtId="4" fontId="9" fillId="7" borderId="4" xfId="0" applyNumberFormat="1" applyFont="1" applyFill="1" applyBorder="1">
      <alignment vertical="center"/>
    </xf>
    <xf numFmtId="0" fontId="10" fillId="0" borderId="4" xfId="0" applyFont="1" applyBorder="1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:K16"/>
  <sheetViews>
    <sheetView tabSelected="1" showRuler="1" showOutlineSymbols="1" defaultGridColor="1" colorId="64" zoomScale="90" workbookViewId="0">
      <pane ySplit="6" topLeftCell="A7" activePane="bottomLeft" state="frozen"/>
      <selection pane="bottomLeft"/>
    </sheetView>
  </sheetViews>
  <sheetFormatPr defaultColWidth="8.43" defaultRowHeight="20" customHeight="1"/>
  <cols>
    <col min="1" max="1" width="6" customWidth="1"/>
    <col min="2" max="2" width="10" customWidth="1"/>
    <col min="3" max="3" width="12" customWidth="1"/>
    <col min="4" max="4" width="15" customWidth="1"/>
    <col min="5" max="5" width="13" customWidth="1"/>
    <col min="6" max="6" width="14" customWidth="1"/>
    <col min="7" max="7" width="13" customWidth="1"/>
    <col min="8" max="8" width="12" customWidth="1"/>
    <col min="9" max="9" width="16" customWidth="1"/>
    <col min="10" max="10" width="30" customWidth="1"/>
  </cols>
  <sheetData>
    <row r="1" ht="30" customHeight="1">
      <c r="A1" s="1" t="s">
        <v>0</v>
      </c>
    </row>
    <row r="2" ht="24" customHeight="1">
      <c r="A2" s="2" t="s">
        <v>1</v>
      </c>
    </row>
    <row r="3" ht="24" customHeight="1">
      <c r="A3" s="2" t="s">
        <v>2</v>
      </c>
    </row>
    <row r="4" ht="24" customHeight="1">
      <c r="A4" s="2" t="s">
        <v>3</v>
      </c>
    </row>
    <row r="6" ht="22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</row>
    <row r="7">
      <c r="A7" s="4">
        <v>1</v>
      </c>
      <c r="B7" s="4" t="s">
        <v>14</v>
      </c>
      <c r="C7" s="4" t="s">
        <v>15</v>
      </c>
      <c r="D7" s="8" t="s">
        <v>16</v>
      </c>
      <c r="E7" s="8" t="s">
        <v>17</v>
      </c>
      <c r="F7" s="4">
        <v>1100</v>
      </c>
      <c r="G7" s="4">
        <v>4000</v>
      </c>
      <c r="H7" s="4">
        <v>10</v>
      </c>
      <c r="I7" s="7">
        <f>F7*G7/1000000*H7</f>
        <v/>
      </c>
      <c r="J7" s="8" t="s">
        <v>18</v>
      </c>
    </row>
    <row r="8">
      <c r="A8" s="4">
        <v>2</v>
      </c>
      <c r="B8" s="4" t="s">
        <v>14</v>
      </c>
      <c r="C8" s="4" t="s">
        <v>15</v>
      </c>
      <c r="D8" s="8" t="s">
        <v>16</v>
      </c>
      <c r="E8" s="8" t="s">
        <v>19</v>
      </c>
      <c r="F8" s="4">
        <v>1100</v>
      </c>
      <c r="G8" s="4">
        <v>3000</v>
      </c>
      <c r="H8" s="4">
        <v>7</v>
      </c>
      <c r="I8" s="7">
        <f>F8*G8/1000000*H8</f>
        <v/>
      </c>
      <c r="J8" s="8" t="s">
        <v>18</v>
      </c>
    </row>
    <row r="9">
      <c r="A9" s="4">
        <v>3</v>
      </c>
      <c r="B9" s="4" t="s">
        <v>14</v>
      </c>
      <c r="C9" s="4" t="s">
        <v>15</v>
      </c>
      <c r="D9" s="8" t="s">
        <v>16</v>
      </c>
      <c r="E9" s="8" t="s">
        <v>20</v>
      </c>
      <c r="F9" s="4">
        <v>1100</v>
      </c>
      <c r="G9" s="4">
        <v>2900</v>
      </c>
      <c r="H9" s="4">
        <v>11</v>
      </c>
      <c r="I9" s="7">
        <f>F9*G9/1000000*H9</f>
        <v/>
      </c>
      <c r="J9" s="8" t="s">
        <v>18</v>
      </c>
    </row>
    <row r="10">
      <c r="A10" s="4">
        <v>4</v>
      </c>
      <c r="B10" s="4" t="s">
        <v>14</v>
      </c>
      <c r="C10" s="4" t="s">
        <v>15</v>
      </c>
      <c r="D10" s="8" t="s">
        <v>16</v>
      </c>
      <c r="E10" s="8" t="s">
        <v>21</v>
      </c>
      <c r="F10" s="4">
        <v>1100</v>
      </c>
      <c r="G10" s="4">
        <v>2900</v>
      </c>
      <c r="H10" s="4">
        <v>1</v>
      </c>
      <c r="I10" s="7">
        <f>F10*G10/1000000*H10</f>
        <v/>
      </c>
      <c r="J10" s="8" t="s">
        <v>18</v>
      </c>
    </row>
    <row r="11">
      <c r="A11" s="4">
        <v>5</v>
      </c>
      <c r="B11" s="4" t="s">
        <v>14</v>
      </c>
      <c r="C11" s="4" t="s">
        <v>14</v>
      </c>
      <c r="D11" s="8" t="s">
        <v>16</v>
      </c>
      <c r="E11" s="8" t="s">
        <v>22</v>
      </c>
      <c r="F11" s="4">
        <v>1100</v>
      </c>
      <c r="G11" s="4">
        <v>1800</v>
      </c>
      <c r="H11" s="4">
        <v>1</v>
      </c>
      <c r="I11" s="7">
        <f>F11*G11/1000000*H11</f>
        <v/>
      </c>
      <c r="J11" s="8" t="s">
        <v>23</v>
      </c>
    </row>
    <row r="12">
      <c r="A12" s="4">
        <v>6</v>
      </c>
      <c r="B12" s="4" t="s">
        <v>14</v>
      </c>
      <c r="C12" s="4" t="s">
        <v>14</v>
      </c>
      <c r="D12" s="8" t="s">
        <v>16</v>
      </c>
      <c r="E12" s="8" t="s">
        <v>24</v>
      </c>
      <c r="F12" s="4">
        <v>1100</v>
      </c>
      <c r="G12" s="4">
        <v>1500</v>
      </c>
      <c r="H12" s="4">
        <v>2</v>
      </c>
      <c r="I12" s="7">
        <f>F12*G12/1000000*H12</f>
        <v/>
      </c>
      <c r="J12" s="8" t="s">
        <v>23</v>
      </c>
    </row>
    <row r="13">
      <c r="A13" s="4">
        <v>7</v>
      </c>
      <c r="B13" s="4" t="s">
        <v>14</v>
      </c>
      <c r="C13" s="4" t="s">
        <v>14</v>
      </c>
      <c r="D13" s="8" t="s">
        <v>16</v>
      </c>
      <c r="E13" s="8" t="s">
        <v>25</v>
      </c>
      <c r="F13" s="4">
        <v>1100</v>
      </c>
      <c r="G13" s="4">
        <v>1100</v>
      </c>
      <c r="H13" s="4">
        <v>2</v>
      </c>
      <c r="I13" s="7">
        <f>F13*G13/1000000*H13</f>
        <v/>
      </c>
      <c r="J13" s="8" t="s">
        <v>23</v>
      </c>
    </row>
    <row r="14">
      <c r="A14" s="4">
        <v>8</v>
      </c>
      <c r="B14" s="4" t="s">
        <v>14</v>
      </c>
      <c r="C14" s="4" t="s">
        <v>14</v>
      </c>
      <c r="D14" s="8" t="s">
        <v>16</v>
      </c>
      <c r="E14" s="8" t="s">
        <v>26</v>
      </c>
      <c r="F14" s="4">
        <v>1100</v>
      </c>
      <c r="G14" s="4">
        <v>1100</v>
      </c>
      <c r="H14" s="4">
        <v>1</v>
      </c>
      <c r="I14" s="7">
        <f>F14*G14/1000000*H14</f>
        <v/>
      </c>
      <c r="J14" s="8" t="s">
        <v>23</v>
      </c>
    </row>
    <row r="15">
      <c r="A15" s="4">
        <v>9</v>
      </c>
      <c r="B15" s="4" t="s">
        <v>14</v>
      </c>
      <c r="C15" s="4" t="s">
        <v>14</v>
      </c>
      <c r="D15" s="8" t="s">
        <v>16</v>
      </c>
      <c r="E15" s="8" t="s">
        <v>27</v>
      </c>
      <c r="F15" s="4">
        <v>1100</v>
      </c>
      <c r="G15" s="4">
        <v>1100</v>
      </c>
      <c r="H15" s="4">
        <v>4</v>
      </c>
      <c r="I15" s="7">
        <f>F15*G15/1000000*H15</f>
        <v/>
      </c>
      <c r="J15" s="8" t="s">
        <v>23</v>
      </c>
    </row>
    <row r="16">
      <c r="A16" s="5" t="s">
        <v>28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6">
        <f>SUM(H7:H15)</f>
        <v/>
      </c>
      <c r="I16" s="5">
        <f>SUM(I7:I15)</f>
        <v/>
      </c>
      <c r="J16" s="5" t="s">
        <v>14</v>
      </c>
    </row>
  </sheetData>
  <mergeCells>
    <mergeCell ref="A1:J1"/>
    <mergeCell ref="A2:J2"/>
    <mergeCell ref="A3:J3"/>
    <mergeCell ref="A4:J4"/>
    <mergeCell ref="A16:G16"/>
  </mergeCells>
  <pageMargins left="0.7" right="0.7" top="0.75" bottom="0.75" header="0.3" footer="0.3"/>
  <pageSetup paperSize="8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:S9"/>
  <sheetViews>
    <sheetView showRuler="1" showOutlineSymbols="1" defaultGridColor="1" colorId="64" zoomScale="90" workbookViewId="0">
      <pane ySplit="8" topLeftCell="A9" activePane="bottomLeft" state="frozen"/>
      <selection pane="bottomLeft"/>
    </sheetView>
  </sheetViews>
  <sheetFormatPr defaultColWidth="8.43" defaultRowHeight="20" customHeight="1"/>
  <cols>
    <col min="1" max="1" width="6" customWidth="1"/>
    <col min="2" max="2" width="15" customWidth="1"/>
    <col min="3" max="4" width="13" customWidth="1"/>
    <col min="5" max="5" width="12" customWidth="1"/>
    <col min="6" max="6" width="15" customWidth="1"/>
    <col min="7" max="7" width="12" customWidth="1"/>
    <col min="8" max="8" width="10" customWidth="1"/>
    <col min="9" max="9" width="12" customWidth="1"/>
    <col min="10" max="18" width="13" customWidth="1"/>
  </cols>
  <sheetData>
    <row r="1" ht="30" customHeight="1">
      <c r="A1" s="1" t="s">
        <v>29</v>
      </c>
    </row>
    <row r="2" ht="24" customHeight="1">
      <c r="A2" s="2" t="s">
        <v>1</v>
      </c>
    </row>
    <row r="3" ht="24" customHeight="1">
      <c r="A3" s="2" t="s">
        <v>2</v>
      </c>
    </row>
    <row r="4" ht="24" customHeight="1">
      <c r="A4" s="2" t="s">
        <v>3</v>
      </c>
    </row>
    <row r="6" ht="22" customHeight="1">
      <c r="A6" s="3" t="s">
        <v>30</v>
      </c>
    </row>
    <row r="7" ht="22" customHeight="1">
      <c r="A7" s="3" t="s">
        <v>4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  <c r="J7" s="3" t="s">
        <v>14</v>
      </c>
      <c r="K7" s="3" t="s">
        <v>14</v>
      </c>
      <c r="L7" s="3" t="s">
        <v>14</v>
      </c>
      <c r="M7" s="3" t="s">
        <v>14</v>
      </c>
      <c r="N7" s="3" t="s">
        <v>39</v>
      </c>
      <c r="O7" s="3" t="s">
        <v>14</v>
      </c>
      <c r="P7" s="3" t="s">
        <v>14</v>
      </c>
      <c r="Q7" s="3" t="s">
        <v>14</v>
      </c>
      <c r="R7" s="3" t="s">
        <v>14</v>
      </c>
    </row>
    <row r="8" ht="22" customHeight="1">
      <c r="A8" s="3" t="s">
        <v>14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40</v>
      </c>
      <c r="J8" s="3" t="s">
        <v>41</v>
      </c>
      <c r="K8" s="3" t="s">
        <v>42</v>
      </c>
      <c r="L8" s="3" t="s">
        <v>43</v>
      </c>
      <c r="M8" s="3" t="s">
        <v>44</v>
      </c>
      <c r="N8" s="3" t="s">
        <v>40</v>
      </c>
      <c r="O8" s="3" t="s">
        <v>41</v>
      </c>
      <c r="P8" s="3" t="s">
        <v>42</v>
      </c>
      <c r="Q8" s="3" t="s">
        <v>43</v>
      </c>
      <c r="R8" s="3" t="s">
        <v>44</v>
      </c>
    </row>
    <row r="9">
      <c r="A9" s="4">
        <v>1</v>
      </c>
      <c r="B9" s="4" t="s">
        <v>16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51</v>
      </c>
      <c r="O9" s="4" t="s">
        <v>52</v>
      </c>
      <c r="P9" s="4" t="s">
        <v>53</v>
      </c>
      <c r="Q9" s="4" t="s">
        <v>54</v>
      </c>
      <c r="R9" s="4" t="s">
        <v>55</v>
      </c>
    </row>
  </sheetData>
  <mergeCells>
    <mergeCell ref="A1:R1"/>
    <mergeCell ref="A2:R2"/>
    <mergeCell ref="A3:R3"/>
    <mergeCell ref="A4:R4"/>
    <mergeCell ref="A6:R6"/>
    <mergeCell ref="A7:A8"/>
    <mergeCell ref="B7:B8"/>
    <mergeCell ref="C7:C8"/>
    <mergeCell ref="D7:D8"/>
    <mergeCell ref="E7:E8"/>
    <mergeCell ref="F7:F8"/>
    <mergeCell ref="G7:G8"/>
    <mergeCell ref="H7:H8"/>
    <mergeCell ref="I7:M7"/>
    <mergeCell ref="N7:R7"/>
  </mergeCells>
  <pageMargins left="0.7" right="0.7" top="0.75" bottom="0.75" header="0.3" footer="0.3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:I12"/>
  <sheetViews>
    <sheetView showRuler="1" showOutlineSymbols="1" defaultGridColor="1" colorId="64" zoomScale="90" workbookViewId="0">
      <pane ySplit="6" topLeftCell="A7" activePane="bottomLeft" state="frozen"/>
      <selection pane="bottomLeft"/>
    </sheetView>
  </sheetViews>
  <sheetFormatPr defaultColWidth="8.43" defaultRowHeight="20" customHeight="1"/>
  <cols>
    <col min="1" max="1" width="6" customWidth="1"/>
    <col min="2" max="2" width="15" customWidth="1"/>
    <col min="3" max="3" width="20" customWidth="1"/>
    <col min="4" max="4" width="35" customWidth="1"/>
    <col min="5" max="5" width="30" customWidth="1"/>
    <col min="6" max="6" width="10" customWidth="1"/>
    <col min="7" max="7" width="12" customWidth="1"/>
    <col min="8" max="8" width="40" customWidth="1"/>
  </cols>
  <sheetData>
    <row r="1" ht="30" customHeight="1">
      <c r="A1" s="1" t="s">
        <v>56</v>
      </c>
    </row>
    <row r="2" ht="24" customHeight="1">
      <c r="A2" s="2" t="s">
        <v>1</v>
      </c>
    </row>
    <row r="3" ht="24" customHeight="1">
      <c r="A3" s="2" t="s">
        <v>2</v>
      </c>
    </row>
    <row r="4" ht="24" customHeight="1">
      <c r="A4" s="2" t="s">
        <v>3</v>
      </c>
    </row>
    <row r="6" ht="22" customHeight="1">
      <c r="A6" s="3" t="s">
        <v>4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61</v>
      </c>
      <c r="G6" s="3" t="s">
        <v>11</v>
      </c>
      <c r="H6" s="3" t="s">
        <v>13</v>
      </c>
    </row>
    <row r="7">
      <c r="A7" s="4">
        <v>1</v>
      </c>
      <c r="B7" s="4" t="s">
        <v>62</v>
      </c>
      <c r="C7" s="4" t="s">
        <v>63</v>
      </c>
      <c r="D7" s="8" t="s">
        <v>64</v>
      </c>
      <c r="E7" s="4" t="s">
        <v>65</v>
      </c>
      <c r="F7" s="4" t="s">
        <v>66</v>
      </c>
      <c r="G7" s="4">
        <v>7</v>
      </c>
      <c r="H7" s="8" t="s">
        <v>67</v>
      </c>
    </row>
    <row r="8">
      <c r="A8" s="4">
        <v>2</v>
      </c>
      <c r="B8" s="4" t="s">
        <v>62</v>
      </c>
      <c r="C8" s="4" t="s">
        <v>63</v>
      </c>
      <c r="D8" s="8" t="s">
        <v>68</v>
      </c>
      <c r="E8" s="4" t="s">
        <v>69</v>
      </c>
      <c r="F8" s="4" t="s">
        <v>70</v>
      </c>
      <c r="G8" s="4">
        <v>125</v>
      </c>
      <c r="H8" s="8" t="s">
        <v>71</v>
      </c>
    </row>
    <row r="9">
      <c r="A9" s="4">
        <v>3</v>
      </c>
      <c r="B9" s="4" t="s">
        <v>62</v>
      </c>
      <c r="C9" s="4" t="s">
        <v>63</v>
      </c>
      <c r="D9" s="8" t="s">
        <v>72</v>
      </c>
      <c r="E9" s="4" t="s">
        <v>73</v>
      </c>
      <c r="F9" s="4" t="s">
        <v>74</v>
      </c>
      <c r="G9" s="4">
        <v>9</v>
      </c>
      <c r="H9" s="8" t="s">
        <v>75</v>
      </c>
    </row>
    <row r="10">
      <c r="A10" s="4">
        <v>4</v>
      </c>
      <c r="B10" s="4" t="s">
        <v>62</v>
      </c>
      <c r="C10" s="4" t="s">
        <v>63</v>
      </c>
      <c r="D10" s="8" t="s">
        <v>76</v>
      </c>
      <c r="E10" s="4" t="s">
        <v>77</v>
      </c>
      <c r="F10" s="4" t="s">
        <v>78</v>
      </c>
      <c r="G10" s="4">
        <v>63</v>
      </c>
      <c r="H10" s="8" t="s">
        <v>79</v>
      </c>
    </row>
    <row r="11">
      <c r="A11" s="4">
        <v>5</v>
      </c>
      <c r="B11" s="4" t="s">
        <v>62</v>
      </c>
      <c r="C11" s="4" t="s">
        <v>63</v>
      </c>
      <c r="D11" s="8" t="s">
        <v>72</v>
      </c>
      <c r="E11" s="4" t="s">
        <v>80</v>
      </c>
      <c r="F11" s="4" t="s">
        <v>74</v>
      </c>
      <c r="G11" s="4">
        <v>10</v>
      </c>
      <c r="H11" s="8" t="s">
        <v>81</v>
      </c>
    </row>
    <row r="12">
      <c r="A12" s="5" t="s">
        <v>82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14</v>
      </c>
      <c r="G12" s="6">
        <f>SUM(G7:G11)</f>
        <v/>
      </c>
      <c r="H12" s="5" t="s">
        <v>14</v>
      </c>
    </row>
  </sheetData>
  <mergeCells>
    <mergeCell ref="A1:H1"/>
    <mergeCell ref="A2:H2"/>
    <mergeCell ref="A3:H3"/>
    <mergeCell ref="A4:H4"/>
    <mergeCell ref="A12:F12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2026-04-28T08:00:58Z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