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reenpan-my.sharepoint.com/personal/huy_dn_greenpan_com_vn/Documents/Desktop/Test2/Project Data/BOQ/Shopdrawing/"/>
    </mc:Choice>
  </mc:AlternateContent>
  <xr:revisionPtr revIDLastSave="0" documentId="11_EBFA12631EA2DB856AF46EBD48771EF92B0516A8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ệnh Sản Xuất" sheetId="1" r:id="rId1"/>
    <sheet name="Quản lý Spec" sheetId="2" r:id="rId2"/>
    <sheet name="Đặt Hàng Phụ Kiệ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I16" i="1"/>
  <c r="H16" i="1"/>
  <c r="I15" i="1"/>
  <c r="I14" i="1"/>
  <c r="I13" i="1"/>
  <c r="I12" i="1"/>
  <c r="I11" i="1"/>
  <c r="I10" i="1"/>
  <c r="I9" i="1"/>
  <c r="I8" i="1"/>
  <c r="I7" i="1"/>
</calcChain>
</file>

<file path=xl/sharedStrings.xml><?xml version="1.0" encoding="utf-8"?>
<sst xmlns="http://schemas.openxmlformats.org/spreadsheetml/2006/main" count="131" uniqueCount="82">
  <si>
    <t>LỆNH SẢN XUẤT</t>
  </si>
  <si>
    <t>Dự án: [Đồng bộ Tên dự án từ tính năng Input]</t>
  </si>
  <si>
    <t>Địa chỉ: [Đồng bộ Địa chỉ từ tính năng Input]</t>
  </si>
  <si>
    <t>Ngày xuất: 28/04/2026 11:03</t>
  </si>
  <si>
    <t>STT</t>
  </si>
  <si>
    <t>ƯU TIÊN</t>
  </si>
  <si>
    <t>TẦNG</t>
  </si>
  <si>
    <t>CẤU TẠO</t>
  </si>
  <si>
    <t>KÝ HIỆU</t>
  </si>
  <si>
    <t>RỘNG (mm)</t>
  </si>
  <si>
    <t>DÀI (mm)</t>
  </si>
  <si>
    <t>SỐ LƯỢNG</t>
  </si>
  <si>
    <t>DIỆN TÍCH (m²)</t>
  </si>
  <si>
    <t>GHI CHÚ</t>
  </si>
  <si>
    <t>Tầng 1</t>
  </si>
  <si>
    <t>SPEC1</t>
  </si>
  <si>
    <t>W1-01</t>
  </si>
  <si>
    <t>Cắt tại công trường | W1</t>
  </si>
  <si>
    <t>W1-02</t>
  </si>
  <si>
    <t>W1-03</t>
  </si>
  <si>
    <t>W1-04</t>
  </si>
  <si>
    <t>W1-05</t>
  </si>
  <si>
    <t>W1</t>
  </si>
  <si>
    <t>W1-06</t>
  </si>
  <si>
    <t>W1-07</t>
  </si>
  <si>
    <t>W1-08</t>
  </si>
  <si>
    <t>W1-09</t>
  </si>
  <si>
    <t>TỔNG ĐẶT HÀNG</t>
  </si>
  <si>
    <t>BẢNG QUẢN LÝ SPEC</t>
  </si>
  <si>
    <t>DANH SÁCH SPEC DỰ ÁN</t>
  </si>
  <si>
    <t>Mã spec</t>
  </si>
  <si>
    <t>Khổ tấm (mm)</t>
  </si>
  <si>
    <t>Loại panel</t>
  </si>
  <si>
    <t>Tỷ trọng</t>
  </si>
  <si>
    <t>Chiều dày (mm)</t>
  </si>
  <si>
    <t>Chống cháy</t>
  </si>
  <si>
    <t>FM</t>
  </si>
  <si>
    <t>MẶT TRÊN</t>
  </si>
  <si>
    <t>MẶT DƯỚI</t>
  </si>
  <si>
    <t>Màu sắc</t>
  </si>
  <si>
    <t>Vật liệu</t>
  </si>
  <si>
    <t>Độ mạ</t>
  </si>
  <si>
    <t>Dày tôn</t>
  </si>
  <si>
    <t>Profile</t>
  </si>
  <si>
    <t>1100</t>
  </si>
  <si>
    <t>ISOFRIGO</t>
  </si>
  <si>
    <t>44+-2</t>
  </si>
  <si>
    <t>50</t>
  </si>
  <si>
    <t>-</t>
  </si>
  <si>
    <t>Có</t>
  </si>
  <si>
    <t>Trắng</t>
  </si>
  <si>
    <t>Tole</t>
  </si>
  <si>
    <t>AZ150</t>
  </si>
  <si>
    <t>0.6</t>
  </si>
  <si>
    <t>Vuông</t>
  </si>
  <si>
    <t>ĐẶT HÀNG PHỤ KIỆN</t>
  </si>
  <si>
    <t>HẠNG MỤC</t>
  </si>
  <si>
    <t>VỊ TRÍ / ỨNG DỤNG</t>
  </si>
  <si>
    <t>TÊN PHỤ KIỆN</t>
  </si>
  <si>
    <t>QUY CÁCH</t>
  </si>
  <si>
    <t>ĐVT</t>
  </si>
  <si>
    <t>Vách</t>
  </si>
  <si>
    <t>Phòng sạch</t>
  </si>
  <si>
    <t>Bộ cửa đi phòng sạch</t>
  </si>
  <si>
    <t>Cửa đi</t>
  </si>
  <si>
    <t>bộ</t>
  </si>
  <si>
    <t>W1: Sơ bộ theo số lượng cửa đi phòng sạch</t>
  </si>
  <si>
    <t>Rive Ø4.2×12</t>
  </si>
  <si>
    <t>Nhôm - Lỗ mở</t>
  </si>
  <si>
    <t>cái</t>
  </si>
  <si>
    <t>W1: Lỗ mở phòng sạch: bắn theo U nhôm 4 cạnh @500</t>
  </si>
  <si>
    <t>Silicone SN-505</t>
  </si>
  <si>
    <t>Lỗ mở</t>
  </si>
  <si>
    <t>chai</t>
  </si>
  <si>
    <t>W1: Lỗ mở phòng sạch: 2 tuyến silicone hoàn thiện theo 4 cạnh U nhôm, quy đổi 15 md/chai</t>
  </si>
  <si>
    <t>U 40x50x40</t>
  </si>
  <si>
    <t>Nhôm / Thép mạ kẽm - Lỗ mở</t>
  </si>
  <si>
    <t>md</t>
  </si>
  <si>
    <t>W1: Lỗ mở phòng sạch: U 4 cạnh cùng loại chân vách; panel 50/75 dùng nhôm, còn lại dùng thép mạ kẽm</t>
  </si>
  <si>
    <t>Mối nối</t>
  </si>
  <si>
    <t>W1: Bơm kín mối nối phòng sạch, quy đổi 15 md/chai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</si>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</sst>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3"/>
      <name val="Times New Roman"/>
    </font>
    <font>
      <i/>
      <sz val="13"/>
      <name val="Times New Roman"/>
    </font>
    <font>
      <b/>
      <sz val="14"/>
      <name val="Times New Roman"/>
    </font>
    <font>
      <b/>
      <sz val="13"/>
      <color rgb="FFFFFFFF"/>
      <name val="Times New Roman"/>
    </font>
    <font>
      <b/>
      <sz val="13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4" fontId="1" fillId="2" borderId="4" xfId="0" applyNumberFormat="1" applyFont="1" applyFill="1" applyBorder="1" applyAlignment="1">
      <alignment horizontal="center" vertical="center" wrapText="1"/>
    </xf>
    <xf numFmtId="3" fontId="5" fillId="4" borderId="4" xfId="0" applyNumberFormat="1" applyFont="1" applyFill="1" applyBorder="1" applyAlignment="1">
      <alignment horizontal="center" vertical="center" wrapText="1"/>
    </xf>
    <xf numFmtId="4" fontId="5" fillId="4" borderId="4" xfId="0" applyNumberFormat="1" applyFont="1" applyFill="1" applyBorder="1" applyAlignment="1">
      <alignment horizontal="center" vertical="center" wrapText="1"/>
    </xf>
    <xf numFmtId="4" fontId="5" fillId="4" borderId="4" xfId="0" applyNumberFormat="1" applyFont="1" applyFill="1" applyBorder="1" applyAlignment="1">
      <alignment horizontal="left" vertical="center" wrapText="1"/>
    </xf>
    <xf numFmtId="4" fontId="5" fillId="4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/>
    <xf numFmtId="0" fontId="3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/>
    </xf>
    <xf numFmtId="0" fontId="4" fillId="3" borderId="4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"/>
  <sheetViews>
    <sheetView tabSelected="1" zoomScale="90" workbookViewId="0">
      <pane ySplit="6" topLeftCell="A7" activePane="bottomLeft" state="frozen"/>
      <selection pane="bottomLeft" activeCell="G25" sqref="G25"/>
    </sheetView>
  </sheetViews>
  <sheetFormatPr defaultColWidth="8.42578125" defaultRowHeight="20.100000000000001" customHeight="1" x14ac:dyDescent="0.25"/>
  <cols>
    <col min="1" max="1" width="6" customWidth="1"/>
    <col min="2" max="2" width="10" customWidth="1"/>
    <col min="3" max="3" width="12" customWidth="1"/>
    <col min="4" max="5" width="15" customWidth="1"/>
    <col min="6" max="7" width="14" customWidth="1"/>
    <col min="8" max="8" width="12" customWidth="1"/>
    <col min="9" max="9" width="16" customWidth="1"/>
    <col min="10" max="10" width="30" customWidth="1"/>
  </cols>
  <sheetData>
    <row r="1" spans="1:10" ht="30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4" customHeight="1" x14ac:dyDescent="0.25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24" customHeight="1" x14ac:dyDescent="0.25">
      <c r="A3" s="12" t="s">
        <v>2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ht="24" customHeight="1" x14ac:dyDescent="0.25">
      <c r="A4" s="12" t="s">
        <v>3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ht="15" x14ac:dyDescent="0.25"/>
    <row r="6" spans="1:10" ht="33" x14ac:dyDescent="0.2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</row>
    <row r="7" spans="1:10" ht="16.5" x14ac:dyDescent="0.25">
      <c r="A7" s="2">
        <v>1</v>
      </c>
      <c r="B7" s="2"/>
      <c r="C7" s="3" t="s">
        <v>14</v>
      </c>
      <c r="D7" s="3" t="s">
        <v>15</v>
      </c>
      <c r="E7" s="3" t="s">
        <v>16</v>
      </c>
      <c r="F7" s="2">
        <v>1100</v>
      </c>
      <c r="G7" s="2">
        <v>4000</v>
      </c>
      <c r="H7" s="2">
        <v>10</v>
      </c>
      <c r="I7" s="4">
        <f t="shared" ref="I7:I15" si="0">F7*G7/1000000*H7</f>
        <v>44</v>
      </c>
      <c r="J7" s="3" t="s">
        <v>17</v>
      </c>
    </row>
    <row r="8" spans="1:10" ht="16.5" x14ac:dyDescent="0.25">
      <c r="A8" s="2">
        <v>2</v>
      </c>
      <c r="B8" s="2"/>
      <c r="C8" s="3" t="s">
        <v>14</v>
      </c>
      <c r="D8" s="3" t="s">
        <v>15</v>
      </c>
      <c r="E8" s="3" t="s">
        <v>18</v>
      </c>
      <c r="F8" s="2">
        <v>1100</v>
      </c>
      <c r="G8" s="2">
        <v>3000</v>
      </c>
      <c r="H8" s="2">
        <v>7</v>
      </c>
      <c r="I8" s="4">
        <f t="shared" si="0"/>
        <v>23.099999999999998</v>
      </c>
      <c r="J8" s="3" t="s">
        <v>17</v>
      </c>
    </row>
    <row r="9" spans="1:10" ht="16.5" x14ac:dyDescent="0.25">
      <c r="A9" s="2">
        <v>3</v>
      </c>
      <c r="B9" s="2"/>
      <c r="C9" s="3" t="s">
        <v>14</v>
      </c>
      <c r="D9" s="3" t="s">
        <v>15</v>
      </c>
      <c r="E9" s="3" t="s">
        <v>19</v>
      </c>
      <c r="F9" s="2">
        <v>1100</v>
      </c>
      <c r="G9" s="2">
        <v>2900</v>
      </c>
      <c r="H9" s="2">
        <v>11</v>
      </c>
      <c r="I9" s="4">
        <f t="shared" si="0"/>
        <v>35.089999999999996</v>
      </c>
      <c r="J9" s="3" t="s">
        <v>17</v>
      </c>
    </row>
    <row r="10" spans="1:10" ht="16.5" x14ac:dyDescent="0.25">
      <c r="A10" s="2">
        <v>4</v>
      </c>
      <c r="B10" s="2"/>
      <c r="C10" s="3" t="s">
        <v>14</v>
      </c>
      <c r="D10" s="3" t="s">
        <v>15</v>
      </c>
      <c r="E10" s="3" t="s">
        <v>20</v>
      </c>
      <c r="F10" s="2">
        <v>1100</v>
      </c>
      <c r="G10" s="2">
        <v>2900</v>
      </c>
      <c r="H10" s="2">
        <v>1</v>
      </c>
      <c r="I10" s="4">
        <f t="shared" si="0"/>
        <v>3.19</v>
      </c>
      <c r="J10" s="3" t="s">
        <v>17</v>
      </c>
    </row>
    <row r="11" spans="1:10" ht="16.5" x14ac:dyDescent="0.25">
      <c r="A11" s="2">
        <v>5</v>
      </c>
      <c r="B11" s="2"/>
      <c r="C11" s="3"/>
      <c r="D11" s="3" t="s">
        <v>15</v>
      </c>
      <c r="E11" s="3" t="s">
        <v>21</v>
      </c>
      <c r="F11" s="2">
        <v>1100</v>
      </c>
      <c r="G11" s="2">
        <v>1800</v>
      </c>
      <c r="H11" s="2">
        <v>1</v>
      </c>
      <c r="I11" s="4">
        <f t="shared" si="0"/>
        <v>1.98</v>
      </c>
      <c r="J11" s="3" t="s">
        <v>22</v>
      </c>
    </row>
    <row r="12" spans="1:10" ht="16.5" x14ac:dyDescent="0.25">
      <c r="A12" s="2">
        <v>6</v>
      </c>
      <c r="B12" s="2"/>
      <c r="C12" s="3"/>
      <c r="D12" s="3" t="s">
        <v>15</v>
      </c>
      <c r="E12" s="3" t="s">
        <v>23</v>
      </c>
      <c r="F12" s="2">
        <v>1100</v>
      </c>
      <c r="G12" s="2">
        <v>1500</v>
      </c>
      <c r="H12" s="2">
        <v>2</v>
      </c>
      <c r="I12" s="4">
        <f t="shared" si="0"/>
        <v>3.3</v>
      </c>
      <c r="J12" s="3" t="s">
        <v>22</v>
      </c>
    </row>
    <row r="13" spans="1:10" ht="16.5" x14ac:dyDescent="0.25">
      <c r="A13" s="2">
        <v>7</v>
      </c>
      <c r="B13" s="2"/>
      <c r="C13" s="3"/>
      <c r="D13" s="3" t="s">
        <v>15</v>
      </c>
      <c r="E13" s="3" t="s">
        <v>24</v>
      </c>
      <c r="F13" s="2">
        <v>1100</v>
      </c>
      <c r="G13" s="2">
        <v>1100</v>
      </c>
      <c r="H13" s="2">
        <v>2</v>
      </c>
      <c r="I13" s="4">
        <f t="shared" si="0"/>
        <v>2.42</v>
      </c>
      <c r="J13" s="3" t="s">
        <v>22</v>
      </c>
    </row>
    <row r="14" spans="1:10" ht="16.5" x14ac:dyDescent="0.25">
      <c r="A14" s="2">
        <v>8</v>
      </c>
      <c r="B14" s="2"/>
      <c r="C14" s="3"/>
      <c r="D14" s="3" t="s">
        <v>15</v>
      </c>
      <c r="E14" s="3" t="s">
        <v>25</v>
      </c>
      <c r="F14" s="2">
        <v>1100</v>
      </c>
      <c r="G14" s="2">
        <v>1100</v>
      </c>
      <c r="H14" s="2">
        <v>1</v>
      </c>
      <c r="I14" s="4">
        <f t="shared" si="0"/>
        <v>1.21</v>
      </c>
      <c r="J14" s="3" t="s">
        <v>22</v>
      </c>
    </row>
    <row r="15" spans="1:10" ht="16.5" x14ac:dyDescent="0.25">
      <c r="A15" s="2">
        <v>9</v>
      </c>
      <c r="B15" s="2"/>
      <c r="C15" s="3"/>
      <c r="D15" s="3" t="s">
        <v>15</v>
      </c>
      <c r="E15" s="3" t="s">
        <v>26</v>
      </c>
      <c r="F15" s="2">
        <v>1100</v>
      </c>
      <c r="G15" s="2">
        <v>1100</v>
      </c>
      <c r="H15" s="2">
        <v>4</v>
      </c>
      <c r="I15" s="4">
        <f t="shared" si="0"/>
        <v>4.84</v>
      </c>
      <c r="J15" s="3" t="s">
        <v>22</v>
      </c>
    </row>
    <row r="16" spans="1:10" ht="16.5" x14ac:dyDescent="0.25">
      <c r="A16" s="8" t="s">
        <v>27</v>
      </c>
      <c r="B16" s="9"/>
      <c r="C16" s="9"/>
      <c r="D16" s="9"/>
      <c r="E16" s="9"/>
      <c r="F16" s="9"/>
      <c r="G16" s="9"/>
      <c r="H16" s="5">
        <f>SUM(H7:H15)</f>
        <v>39</v>
      </c>
      <c r="I16" s="6">
        <f>SUM(I7:I15)</f>
        <v>119.13</v>
      </c>
      <c r="J16" s="7"/>
    </row>
  </sheetData>
  <mergeCells count="5">
    <mergeCell ref="A16:G16"/>
    <mergeCell ref="A1:J1"/>
    <mergeCell ref="A2:J2"/>
    <mergeCell ref="A3:J3"/>
    <mergeCell ref="A4:J4"/>
  </mergeCells>
  <pageMargins left="0.25" right="0.25" top="0.75" bottom="0.75" header="0.3" footer="0.3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"/>
  <sheetViews>
    <sheetView zoomScale="90" workbookViewId="0">
      <pane ySplit="8" topLeftCell="A9" activePane="bottomLeft" state="frozen"/>
      <selection pane="bottomLeft" sqref="A1:R1"/>
    </sheetView>
  </sheetViews>
  <sheetFormatPr defaultColWidth="8.42578125" defaultRowHeight="20.100000000000001" customHeight="1" x14ac:dyDescent="0.25"/>
  <cols>
    <col min="1" max="1" width="6" customWidth="1"/>
    <col min="2" max="4" width="15" customWidth="1"/>
    <col min="5" max="5" width="12" customWidth="1"/>
    <col min="6" max="6" width="15" customWidth="1"/>
    <col min="7" max="7" width="12" customWidth="1"/>
    <col min="8" max="8" width="10" customWidth="1"/>
    <col min="9" max="18" width="12" customWidth="1"/>
  </cols>
  <sheetData>
    <row r="1" spans="1:18" ht="30" customHeight="1" x14ac:dyDescent="0.25">
      <c r="A1" s="10" t="s">
        <v>28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24" customHeight="1" x14ac:dyDescent="0.25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24" customHeight="1" x14ac:dyDescent="0.25">
      <c r="A3" s="12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24" customHeight="1" x14ac:dyDescent="0.25">
      <c r="A4" s="12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21.95" customHeight="1" x14ac:dyDescent="0.25"/>
    <row r="6" spans="1:18" ht="21.95" customHeight="1" x14ac:dyDescent="0.25">
      <c r="A6" s="13" t="s">
        <v>29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6"/>
    </row>
    <row r="7" spans="1:18" ht="15" x14ac:dyDescent="0.25">
      <c r="A7" s="13" t="s">
        <v>4</v>
      </c>
      <c r="B7" s="13" t="s">
        <v>30</v>
      </c>
      <c r="C7" s="13" t="s">
        <v>31</v>
      </c>
      <c r="D7" s="13" t="s">
        <v>32</v>
      </c>
      <c r="E7" s="13" t="s">
        <v>33</v>
      </c>
      <c r="F7" s="13" t="s">
        <v>34</v>
      </c>
      <c r="G7" s="13" t="s">
        <v>35</v>
      </c>
      <c r="H7" s="13" t="s">
        <v>36</v>
      </c>
      <c r="I7" s="13" t="s">
        <v>37</v>
      </c>
      <c r="J7" s="15"/>
      <c r="K7" s="15"/>
      <c r="L7" s="15"/>
      <c r="M7" s="16"/>
      <c r="N7" s="13" t="s">
        <v>38</v>
      </c>
      <c r="O7" s="15"/>
      <c r="P7" s="15"/>
      <c r="Q7" s="15"/>
      <c r="R7" s="16"/>
    </row>
    <row r="8" spans="1:18" ht="16.5" x14ac:dyDescent="0.25">
      <c r="A8" s="14"/>
      <c r="B8" s="14"/>
      <c r="C8" s="14"/>
      <c r="D8" s="14"/>
      <c r="E8" s="14"/>
      <c r="F8" s="14"/>
      <c r="G8" s="14"/>
      <c r="H8" s="14"/>
      <c r="I8" s="1" t="s">
        <v>39</v>
      </c>
      <c r="J8" s="1" t="s">
        <v>40</v>
      </c>
      <c r="K8" s="1" t="s">
        <v>41</v>
      </c>
      <c r="L8" s="1" t="s">
        <v>42</v>
      </c>
      <c r="M8" s="1" t="s">
        <v>43</v>
      </c>
      <c r="N8" s="1" t="s">
        <v>39</v>
      </c>
      <c r="O8" s="1" t="s">
        <v>40</v>
      </c>
      <c r="P8" s="1" t="s">
        <v>41</v>
      </c>
      <c r="Q8" s="1" t="s">
        <v>42</v>
      </c>
      <c r="R8" s="1" t="s">
        <v>43</v>
      </c>
    </row>
    <row r="9" spans="1:18" ht="16.5" x14ac:dyDescent="0.25">
      <c r="A9" s="2">
        <v>1</v>
      </c>
      <c r="B9" s="2" t="s">
        <v>15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49</v>
      </c>
      <c r="I9" s="2" t="s">
        <v>50</v>
      </c>
      <c r="J9" s="2" t="s">
        <v>51</v>
      </c>
      <c r="K9" s="2" t="s">
        <v>52</v>
      </c>
      <c r="L9" s="2" t="s">
        <v>53</v>
      </c>
      <c r="M9" s="2" t="s">
        <v>54</v>
      </c>
      <c r="N9" s="2" t="s">
        <v>50</v>
      </c>
      <c r="O9" s="2" t="s">
        <v>51</v>
      </c>
      <c r="P9" s="2" t="s">
        <v>52</v>
      </c>
      <c r="Q9" s="2" t="s">
        <v>53</v>
      </c>
      <c r="R9" s="2" t="s">
        <v>54</v>
      </c>
    </row>
  </sheetData>
  <mergeCells count="15">
    <mergeCell ref="A1:R1"/>
    <mergeCell ref="A2:R2"/>
    <mergeCell ref="N7:R7"/>
    <mergeCell ref="B7:B8"/>
    <mergeCell ref="G7:G8"/>
    <mergeCell ref="A6:R6"/>
    <mergeCell ref="F7:F8"/>
    <mergeCell ref="A7:A8"/>
    <mergeCell ref="A4:R4"/>
    <mergeCell ref="E7:E8"/>
    <mergeCell ref="I7:M7"/>
    <mergeCell ref="H7:H8"/>
    <mergeCell ref="A3:R3"/>
    <mergeCell ref="C7:C8"/>
    <mergeCell ref="D7:D8"/>
  </mergeCells>
  <pageMargins left="0.25" right="0.25" top="0.75" bottom="0.75" header="0.3" footer="0.3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2"/>
  <sheetViews>
    <sheetView zoomScale="90" workbookViewId="0">
      <pane ySplit="6" topLeftCell="A7" activePane="bottomLeft" state="frozen"/>
      <selection pane="bottomLeft" activeCell="B25" sqref="B25"/>
    </sheetView>
  </sheetViews>
  <sheetFormatPr defaultColWidth="8.42578125" defaultRowHeight="20.100000000000001" customHeight="1" x14ac:dyDescent="0.25"/>
  <cols>
    <col min="1" max="1" width="6" customWidth="1"/>
    <col min="2" max="2" width="15" customWidth="1"/>
    <col min="3" max="3" width="20" customWidth="1"/>
    <col min="4" max="4" width="35" customWidth="1"/>
    <col min="5" max="5" width="30" customWidth="1"/>
    <col min="6" max="6" width="10" customWidth="1"/>
    <col min="7" max="7" width="12" customWidth="1"/>
    <col min="8" max="8" width="40" customWidth="1"/>
  </cols>
  <sheetData>
    <row r="1" spans="1:8" ht="30" customHeight="1" x14ac:dyDescent="0.25">
      <c r="A1" s="10" t="s">
        <v>55</v>
      </c>
      <c r="B1" s="11"/>
      <c r="C1" s="11"/>
      <c r="D1" s="11"/>
      <c r="E1" s="11"/>
      <c r="F1" s="11"/>
      <c r="G1" s="11"/>
      <c r="H1" s="11"/>
    </row>
    <row r="2" spans="1:8" ht="24" customHeight="1" x14ac:dyDescent="0.25">
      <c r="A2" s="12" t="s">
        <v>1</v>
      </c>
      <c r="B2" s="11"/>
      <c r="C2" s="11"/>
      <c r="D2" s="11"/>
      <c r="E2" s="11"/>
      <c r="F2" s="11"/>
      <c r="G2" s="11"/>
      <c r="H2" s="11"/>
    </row>
    <row r="3" spans="1:8" ht="24" customHeight="1" x14ac:dyDescent="0.25">
      <c r="A3" s="12" t="s">
        <v>2</v>
      </c>
      <c r="B3" s="11"/>
      <c r="C3" s="11"/>
      <c r="D3" s="11"/>
      <c r="E3" s="11"/>
      <c r="F3" s="11"/>
      <c r="G3" s="11"/>
      <c r="H3" s="11"/>
    </row>
    <row r="4" spans="1:8" ht="24" customHeight="1" x14ac:dyDescent="0.25">
      <c r="A4" s="12" t="s">
        <v>3</v>
      </c>
      <c r="B4" s="11"/>
      <c r="C4" s="11"/>
      <c r="D4" s="11"/>
      <c r="E4" s="11"/>
      <c r="F4" s="11"/>
      <c r="G4" s="11"/>
      <c r="H4" s="11"/>
    </row>
    <row r="5" spans="1:8" ht="15" x14ac:dyDescent="0.25"/>
    <row r="6" spans="1:8" ht="33" x14ac:dyDescent="0.25">
      <c r="A6" s="1" t="s">
        <v>4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11</v>
      </c>
      <c r="H6" s="1" t="s">
        <v>13</v>
      </c>
    </row>
    <row r="7" spans="1:8" ht="33" x14ac:dyDescent="0.25">
      <c r="A7" s="2">
        <v>1</v>
      </c>
      <c r="B7" s="3" t="s">
        <v>61</v>
      </c>
      <c r="C7" s="3" t="s">
        <v>62</v>
      </c>
      <c r="D7" s="3" t="s">
        <v>63</v>
      </c>
      <c r="E7" s="3" t="s">
        <v>64</v>
      </c>
      <c r="F7" s="2" t="s">
        <v>65</v>
      </c>
      <c r="G7" s="2">
        <v>7</v>
      </c>
      <c r="H7" s="3" t="s">
        <v>66</v>
      </c>
    </row>
    <row r="8" spans="1:8" ht="33" x14ac:dyDescent="0.25">
      <c r="A8" s="2">
        <v>2</v>
      </c>
      <c r="B8" s="3" t="s">
        <v>61</v>
      </c>
      <c r="C8" s="3" t="s">
        <v>62</v>
      </c>
      <c r="D8" s="3" t="s">
        <v>67</v>
      </c>
      <c r="E8" s="3" t="s">
        <v>68</v>
      </c>
      <c r="F8" s="2" t="s">
        <v>69</v>
      </c>
      <c r="G8" s="2">
        <v>125</v>
      </c>
      <c r="H8" s="3" t="s">
        <v>70</v>
      </c>
    </row>
    <row r="9" spans="1:8" ht="49.5" x14ac:dyDescent="0.25">
      <c r="A9" s="2">
        <v>3</v>
      </c>
      <c r="B9" s="3" t="s">
        <v>61</v>
      </c>
      <c r="C9" s="3" t="s">
        <v>62</v>
      </c>
      <c r="D9" s="3" t="s">
        <v>71</v>
      </c>
      <c r="E9" s="3" t="s">
        <v>72</v>
      </c>
      <c r="F9" s="2" t="s">
        <v>73</v>
      </c>
      <c r="G9" s="2">
        <v>9</v>
      </c>
      <c r="H9" s="3" t="s">
        <v>74</v>
      </c>
    </row>
    <row r="10" spans="1:8" ht="49.5" x14ac:dyDescent="0.25">
      <c r="A10" s="2">
        <v>4</v>
      </c>
      <c r="B10" s="3" t="s">
        <v>61</v>
      </c>
      <c r="C10" s="3" t="s">
        <v>62</v>
      </c>
      <c r="D10" s="3" t="s">
        <v>75</v>
      </c>
      <c r="E10" s="3" t="s">
        <v>76</v>
      </c>
      <c r="F10" s="2" t="s">
        <v>77</v>
      </c>
      <c r="G10" s="2">
        <v>63</v>
      </c>
      <c r="H10" s="3" t="s">
        <v>78</v>
      </c>
    </row>
    <row r="11" spans="1:8" ht="33" x14ac:dyDescent="0.25">
      <c r="A11" s="2">
        <v>5</v>
      </c>
      <c r="B11" s="3" t="s">
        <v>61</v>
      </c>
      <c r="C11" s="3" t="s">
        <v>62</v>
      </c>
      <c r="D11" s="3" t="s">
        <v>71</v>
      </c>
      <c r="E11" s="3" t="s">
        <v>79</v>
      </c>
      <c r="F11" s="2" t="s">
        <v>73</v>
      </c>
      <c r="G11" s="2">
        <v>10</v>
      </c>
      <c r="H11" s="3" t="s">
        <v>80</v>
      </c>
    </row>
    <row r="12" spans="1:8" ht="16.5" x14ac:dyDescent="0.25">
      <c r="A12" s="8" t="s">
        <v>81</v>
      </c>
      <c r="B12" s="9"/>
      <c r="C12" s="9"/>
      <c r="D12" s="9"/>
      <c r="E12" s="9"/>
      <c r="F12" s="9"/>
      <c r="G12" s="5">
        <f>SUM(G7:G11)</f>
        <v>214</v>
      </c>
      <c r="H12" s="7"/>
    </row>
  </sheetData>
  <mergeCells count="5">
    <mergeCell ref="A1:H1"/>
    <mergeCell ref="A2:H2"/>
    <mergeCell ref="A3:H3"/>
    <mergeCell ref="A4:H4"/>
    <mergeCell ref="A12:F12"/>
  </mergeCells>
  <pageMargins left="0.25" right="0.25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Lệnh Sản Xuất</vt:lpstr>
      <vt:lpstr>Quản lý Spec</vt:lpstr>
      <vt:lpstr>Đặt Hàng Phụ Kiện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Huy Dao Ngoc</cp:lastModifiedBy>
  <dcterms:created xsi:type="dcterms:W3CDTF">2026-04-28T04:03:25Z</dcterms:created>
  <dcterms:modified xsi:type="dcterms:W3CDTF">2026-04-28T06:57:38Z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